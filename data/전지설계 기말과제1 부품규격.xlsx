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1_{19AA264C-9D35-4B9F-9F85-9058FAFD2806}" xr6:coauthVersionLast="47" xr6:coauthVersionMax="47" xr10:uidLastSave="{00000000-0000-0000-0000-000000000000}"/>
  <bookViews>
    <workbookView xWindow="-110" yWindow="-110" windowWidth="25820" windowHeight="15500" activeTab="2" xr2:uid="{8D274757-5E6A-43BD-B847-6A55E312FAF7}"/>
  </bookViews>
  <sheets>
    <sheet name="압연전" sheetId="1" r:id="rId1"/>
    <sheet name="압연후" sheetId="2" r:id="rId2"/>
    <sheet name="부품측정후" sheetId="3" r:id="rId3"/>
    <sheet name="질량 및 용량, 전류" sheetId="4" r:id="rId4"/>
    <sheet name="사이클러 조건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0" i="3" l="1"/>
  <c r="J32" i="3"/>
  <c r="I32" i="3"/>
  <c r="J31" i="3"/>
  <c r="J29" i="3"/>
  <c r="M29" i="3"/>
  <c r="N29" i="3"/>
  <c r="M30" i="3"/>
  <c r="M32" i="3" s="1"/>
  <c r="N30" i="3"/>
  <c r="N32" i="3" s="1"/>
  <c r="M31" i="3"/>
  <c r="N31" i="3"/>
  <c r="C13" i="2"/>
  <c r="E13" i="2"/>
  <c r="G13" i="2"/>
  <c r="H32" i="3"/>
  <c r="I31" i="3"/>
  <c r="H31" i="3"/>
  <c r="C32" i="3"/>
  <c r="D32" i="3"/>
  <c r="E32" i="3"/>
  <c r="B32" i="3"/>
  <c r="C31" i="3"/>
  <c r="D31" i="3"/>
  <c r="E31" i="3"/>
  <c r="B31" i="3"/>
  <c r="I20" i="3"/>
  <c r="J20" i="3"/>
  <c r="K20" i="3"/>
  <c r="H20" i="3"/>
  <c r="E20" i="3"/>
  <c r="E21" i="3" s="1"/>
  <c r="B20" i="3"/>
  <c r="B21" i="3" s="1"/>
  <c r="I9" i="3"/>
  <c r="H9" i="3"/>
  <c r="H10" i="3" s="1"/>
  <c r="C9" i="3"/>
  <c r="D9" i="3"/>
  <c r="B9" i="3"/>
  <c r="B10" i="3" s="1"/>
  <c r="C10" i="3"/>
  <c r="D10" i="3"/>
  <c r="I21" i="3"/>
  <c r="J21" i="3"/>
  <c r="K21" i="3"/>
  <c r="H21" i="3"/>
  <c r="I10" i="3"/>
  <c r="I30" i="3"/>
  <c r="H30" i="3"/>
  <c r="C30" i="3"/>
  <c r="D30" i="3"/>
  <c r="E30" i="3"/>
  <c r="B30" i="3"/>
  <c r="I19" i="3"/>
  <c r="J19" i="3"/>
  <c r="K19" i="3"/>
  <c r="H19" i="3"/>
  <c r="E19" i="3"/>
  <c r="B19" i="3"/>
  <c r="I8" i="3"/>
  <c r="H8" i="3"/>
  <c r="C8" i="3"/>
  <c r="D8" i="3"/>
  <c r="B8" i="3"/>
  <c r="I29" i="3"/>
  <c r="H29" i="3"/>
  <c r="C29" i="3"/>
  <c r="D29" i="3"/>
  <c r="E29" i="3"/>
  <c r="B29" i="3"/>
  <c r="I18" i="3"/>
  <c r="J18" i="3"/>
  <c r="K18" i="3"/>
  <c r="H18" i="3"/>
  <c r="E18" i="3"/>
  <c r="B18" i="3"/>
  <c r="I7" i="3"/>
  <c r="H7" i="3"/>
  <c r="C7" i="3"/>
  <c r="D7" i="3"/>
  <c r="B7" i="3"/>
  <c r="F6" i="6"/>
  <c r="F5" i="6"/>
  <c r="F3" i="6"/>
  <c r="F4" i="6"/>
  <c r="F2" i="6"/>
  <c r="C3" i="6"/>
  <c r="C4" i="6"/>
  <c r="C5" i="6"/>
  <c r="C6" i="6"/>
  <c r="C2" i="6"/>
  <c r="N3" i="4"/>
  <c r="O3" i="4" s="1"/>
  <c r="N4" i="4"/>
  <c r="O4" i="4" s="1"/>
  <c r="N5" i="4"/>
  <c r="O5" i="4" s="1"/>
  <c r="N6" i="4"/>
  <c r="O6" i="4" s="1"/>
  <c r="N2" i="4"/>
  <c r="O2" i="4" s="1"/>
  <c r="K3" i="4"/>
  <c r="K4" i="4"/>
  <c r="K5" i="4"/>
  <c r="K6" i="4"/>
  <c r="K2" i="4"/>
  <c r="J6" i="4"/>
  <c r="J5" i="4"/>
  <c r="J4" i="4"/>
  <c r="J3" i="4"/>
  <c r="J2" i="4"/>
  <c r="G8" i="2" l="1"/>
  <c r="G13" i="1"/>
  <c r="G8" i="1"/>
  <c r="B2" i="4"/>
  <c r="E8" i="2"/>
  <c r="C8" i="2"/>
  <c r="E11" i="1"/>
  <c r="C11" i="1"/>
  <c r="E8" i="1"/>
  <c r="C8" i="1"/>
</calcChain>
</file>

<file path=xl/sharedStrings.xml><?xml version="1.0" encoding="utf-8"?>
<sst xmlns="http://schemas.openxmlformats.org/spreadsheetml/2006/main" count="118" uniqueCount="53">
  <si>
    <t>Cu current collector</t>
    <phoneticPr fontId="1" type="noConversion"/>
  </si>
  <si>
    <t>평균</t>
    <phoneticPr fontId="1" type="noConversion"/>
  </si>
  <si>
    <t>활물질 두께</t>
    <phoneticPr fontId="1" type="noConversion"/>
  </si>
  <si>
    <t>Al current collector</t>
    <phoneticPr fontId="1" type="noConversion"/>
  </si>
  <si>
    <t>활물질+Al current collector</t>
    <phoneticPr fontId="1" type="noConversion"/>
  </si>
  <si>
    <t>활물질+Cu current collector</t>
    <phoneticPr fontId="1" type="noConversion"/>
  </si>
  <si>
    <t>65퍼 압연시 두께</t>
    <phoneticPr fontId="1" type="noConversion"/>
  </si>
  <si>
    <t>학생1</t>
    <phoneticPr fontId="1" type="noConversion"/>
  </si>
  <si>
    <t>학생2</t>
    <phoneticPr fontId="1" type="noConversion"/>
  </si>
  <si>
    <t>학생3</t>
    <phoneticPr fontId="1" type="noConversion"/>
  </si>
  <si>
    <t>학생4</t>
    <phoneticPr fontId="1" type="noConversion"/>
  </si>
  <si>
    <t>학생5</t>
    <phoneticPr fontId="1" type="noConversion"/>
  </si>
  <si>
    <t>외경</t>
    <phoneticPr fontId="1" type="noConversion"/>
  </si>
  <si>
    <t>내경</t>
    <phoneticPr fontId="1" type="noConversion"/>
  </si>
  <si>
    <t>높이</t>
    <phoneticPr fontId="1" type="noConversion"/>
  </si>
  <si>
    <t>gasket</t>
    <phoneticPr fontId="1" type="noConversion"/>
  </si>
  <si>
    <t>Separator</t>
    <phoneticPr fontId="1" type="noConversion"/>
  </si>
  <si>
    <t>직경</t>
    <phoneticPr fontId="1" type="noConversion"/>
  </si>
  <si>
    <t>두께(mm)</t>
    <phoneticPr fontId="1" type="noConversion"/>
  </si>
  <si>
    <t>직경(mm)</t>
    <phoneticPr fontId="1" type="noConversion"/>
  </si>
  <si>
    <t>높이(mm)</t>
    <phoneticPr fontId="1" type="noConversion"/>
  </si>
  <si>
    <t>내경(mm)</t>
    <phoneticPr fontId="1" type="noConversion"/>
  </si>
  <si>
    <t>외경(mm)</t>
    <phoneticPr fontId="1" type="noConversion"/>
  </si>
  <si>
    <t>음극</t>
    <phoneticPr fontId="1" type="noConversion"/>
  </si>
  <si>
    <t>Topcap</t>
    <phoneticPr fontId="1" type="noConversion"/>
  </si>
  <si>
    <t>깊이</t>
    <phoneticPr fontId="1" type="noConversion"/>
  </si>
  <si>
    <t>Botton cap</t>
    <phoneticPr fontId="1" type="noConversion"/>
  </si>
  <si>
    <t>spring</t>
    <phoneticPr fontId="1" type="noConversion"/>
  </si>
  <si>
    <t>양극</t>
    <phoneticPr fontId="1" type="noConversion"/>
  </si>
  <si>
    <t>spacer</t>
    <phoneticPr fontId="1" type="noConversion"/>
  </si>
  <si>
    <t>양극1(g)</t>
    <phoneticPr fontId="1" type="noConversion"/>
  </si>
  <si>
    <t>음극1(g)</t>
    <phoneticPr fontId="1" type="noConversion"/>
  </si>
  <si>
    <t>양극2(mg)</t>
    <phoneticPr fontId="1" type="noConversion"/>
  </si>
  <si>
    <t>음극2(mg)</t>
    <phoneticPr fontId="1" type="noConversion"/>
  </si>
  <si>
    <t>Al current collector(2)</t>
    <phoneticPr fontId="1" type="noConversion"/>
  </si>
  <si>
    <t>활물질+Al current collector(2)</t>
    <phoneticPr fontId="1" type="noConversion"/>
  </si>
  <si>
    <t>65일 때 이론 두께</t>
    <phoneticPr fontId="1" type="noConversion"/>
  </si>
  <si>
    <t>용량</t>
    <phoneticPr fontId="1" type="noConversion"/>
  </si>
  <si>
    <t>용량(mAh)</t>
    <phoneticPr fontId="1" type="noConversion"/>
  </si>
  <si>
    <t>전류(0.2C-rate일 때)(mA)</t>
    <phoneticPr fontId="1" type="noConversion"/>
  </si>
  <si>
    <t>sample1</t>
    <phoneticPr fontId="1" type="noConversion"/>
  </si>
  <si>
    <t>sample2</t>
    <phoneticPr fontId="1" type="noConversion"/>
  </si>
  <si>
    <t>전류(mAh)</t>
    <phoneticPr fontId="1" type="noConversion"/>
  </si>
  <si>
    <t>soc</t>
    <phoneticPr fontId="1" type="noConversion"/>
  </si>
  <si>
    <t>V_cell</t>
    <phoneticPr fontId="1" type="noConversion"/>
  </si>
  <si>
    <t>방전시간(h)</t>
    <phoneticPr fontId="1" type="noConversion"/>
  </si>
  <si>
    <t>중앙값</t>
    <phoneticPr fontId="1" type="noConversion"/>
  </si>
  <si>
    <t>표준편차</t>
    <phoneticPr fontId="1" type="noConversion"/>
  </si>
  <si>
    <t>공차</t>
    <phoneticPr fontId="1" type="noConversion"/>
  </si>
  <si>
    <t>압연 후 (65%)</t>
    <phoneticPr fontId="1" type="noConversion"/>
  </si>
  <si>
    <t>ncm 622 cut off voltage range</t>
    <phoneticPr fontId="1" type="noConversion"/>
  </si>
  <si>
    <t>2.8~4.2</t>
    <phoneticPr fontId="1" type="noConversion"/>
  </si>
  <si>
    <t>두꼐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</si>
</sst>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C77E-A24B-480E-8074-CBEB70490857}">
  <dimension ref="A1:G16"/>
  <sheetViews>
    <sheetView workbookViewId="0">
      <selection activeCell="C11" sqref="C11"/>
    </sheetView>
  </sheetViews>
  <sheetFormatPr defaultRowHeight="17" x14ac:dyDescent="0.45"/>
  <cols>
    <col min="1" max="1" width="15.9140625" bestFit="1" customWidth="1"/>
    <col min="2" max="2" width="18.33203125" bestFit="1" customWidth="1"/>
    <col min="3" max="3" width="25.58203125" bestFit="1" customWidth="1"/>
    <col min="4" max="4" width="17.58203125" bestFit="1" customWidth="1"/>
    <col min="5" max="5" width="24.83203125" bestFit="1" customWidth="1"/>
    <col min="6" max="6" width="19.9140625" bestFit="1" customWidth="1"/>
    <col min="7" max="7" width="24.83203125" bestFit="1" customWidth="1"/>
  </cols>
  <sheetData>
    <row r="1" spans="1:7" x14ac:dyDescent="0.45">
      <c r="B1" s="2" t="s">
        <v>0</v>
      </c>
      <c r="C1" s="2" t="s">
        <v>5</v>
      </c>
      <c r="D1" s="2" t="s">
        <v>3</v>
      </c>
      <c r="E1" s="2" t="s">
        <v>4</v>
      </c>
      <c r="F1" s="2" t="s">
        <v>34</v>
      </c>
      <c r="G1" s="2" t="s">
        <v>35</v>
      </c>
    </row>
    <row r="2" spans="1:7" x14ac:dyDescent="0.45">
      <c r="A2">
        <v>1</v>
      </c>
      <c r="B2">
        <v>1.4999999999999999E-2</v>
      </c>
      <c r="C2">
        <v>9.8000000000000004E-2</v>
      </c>
      <c r="D2">
        <v>0.02</v>
      </c>
      <c r="E2">
        <v>4.7E-2</v>
      </c>
      <c r="F2">
        <v>2.4E-2</v>
      </c>
      <c r="G2">
        <v>6.3E-2</v>
      </c>
    </row>
    <row r="3" spans="1:7" x14ac:dyDescent="0.45">
      <c r="A3">
        <v>2</v>
      </c>
      <c r="B3">
        <v>1.6E-2</v>
      </c>
      <c r="C3">
        <v>9.5000000000000001E-2</v>
      </c>
      <c r="D3">
        <v>1.7000000000000001E-2</v>
      </c>
      <c r="E3">
        <v>4.5999999999999999E-2</v>
      </c>
      <c r="F3">
        <v>2.1000000000000001E-2</v>
      </c>
      <c r="G3">
        <v>6.7000000000000004E-2</v>
      </c>
    </row>
    <row r="4" spans="1:7" x14ac:dyDescent="0.45">
      <c r="A4">
        <v>3</v>
      </c>
      <c r="B4">
        <v>1.7999999999999999E-2</v>
      </c>
      <c r="C4">
        <v>8.5999999999999993E-2</v>
      </c>
      <c r="D4">
        <v>0.02</v>
      </c>
      <c r="E4">
        <v>4.7E-2</v>
      </c>
      <c r="F4">
        <v>2.1000000000000001E-2</v>
      </c>
      <c r="G4">
        <v>6.9000000000000006E-2</v>
      </c>
    </row>
    <row r="5" spans="1:7" x14ac:dyDescent="0.45">
      <c r="A5">
        <v>4</v>
      </c>
      <c r="B5">
        <v>1.7000000000000001E-2</v>
      </c>
      <c r="C5">
        <v>8.7999999999999995E-2</v>
      </c>
      <c r="D5">
        <v>1.7999999999999999E-2</v>
      </c>
      <c r="E5">
        <v>0.04</v>
      </c>
      <c r="F5">
        <v>0.02</v>
      </c>
      <c r="G5">
        <v>6.3E-2</v>
      </c>
    </row>
    <row r="6" spans="1:7" x14ac:dyDescent="0.45">
      <c r="A6">
        <v>5</v>
      </c>
      <c r="B6">
        <v>1.4999999999999999E-2</v>
      </c>
      <c r="C6">
        <v>7.5999999999999998E-2</v>
      </c>
      <c r="D6">
        <v>1.9E-2</v>
      </c>
      <c r="E6">
        <v>5.0999999999999997E-2</v>
      </c>
      <c r="F6">
        <v>0.02</v>
      </c>
      <c r="G6">
        <v>6.9000000000000006E-2</v>
      </c>
    </row>
    <row r="7" spans="1:7" x14ac:dyDescent="0.45">
      <c r="A7" t="s">
        <v>1</v>
      </c>
      <c r="B7">
        <v>1.6E-2</v>
      </c>
      <c r="C7">
        <v>8.9700000000000002E-2</v>
      </c>
      <c r="D7">
        <v>1.9E-2</v>
      </c>
      <c r="E7">
        <v>4.6699999999999998E-2</v>
      </c>
      <c r="F7">
        <v>2.07E-2</v>
      </c>
      <c r="G7">
        <v>6.7000000000000004E-2</v>
      </c>
    </row>
    <row r="8" spans="1:7" x14ac:dyDescent="0.45">
      <c r="A8" t="s">
        <v>2</v>
      </c>
      <c r="C8">
        <f>0.0897-0.016</f>
        <v>7.3700000000000002E-2</v>
      </c>
      <c r="E8">
        <f>0.0467-0.019</f>
        <v>2.7699999999999999E-2</v>
      </c>
      <c r="G8">
        <f>0.067-0.0207</f>
        <v>4.6300000000000008E-2</v>
      </c>
    </row>
    <row r="11" spans="1:7" x14ac:dyDescent="0.45">
      <c r="A11" t="s">
        <v>6</v>
      </c>
      <c r="C11">
        <f>0.0737*0.65</f>
        <v>4.7905000000000003E-2</v>
      </c>
      <c r="E11">
        <f>0.0277*0.65</f>
        <v>1.8005E-2</v>
      </c>
      <c r="G11">
        <v>3.0700000000000002E-2</v>
      </c>
    </row>
    <row r="13" spans="1:7" x14ac:dyDescent="0.45">
      <c r="A13" s="4" t="s">
        <v>36</v>
      </c>
      <c r="G13">
        <f>0.0307+0.0207</f>
        <v>5.1400000000000001E-2</v>
      </c>
    </row>
    <row r="14" spans="1:7" x14ac:dyDescent="0.45">
      <c r="A14" s="4"/>
    </row>
    <row r="16" spans="1:7" x14ac:dyDescent="0.45">
      <c r="A16" t="s">
        <v>47</v>
      </c>
    </row>
  </sheetData>
  <mergeCells count="1">
    <mergeCell ref="A13:A1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272FA-0035-47F2-90F8-219CD96A5C6C}">
  <dimension ref="A1:G13"/>
  <sheetViews>
    <sheetView topLeftCell="B1" workbookViewId="0">
      <selection activeCell="C14" sqref="C14"/>
    </sheetView>
  </sheetViews>
  <sheetFormatPr defaultRowHeight="17" x14ac:dyDescent="0.45"/>
  <cols>
    <col min="1" max="1" width="12.9140625" bestFit="1" customWidth="1"/>
    <col min="2" max="2" width="18.33203125" bestFit="1" customWidth="1"/>
    <col min="3" max="3" width="25.58203125" bestFit="1" customWidth="1"/>
    <col min="4" max="4" width="17.58203125" bestFit="1" customWidth="1"/>
    <col min="5" max="5" width="24.83203125" bestFit="1" customWidth="1"/>
    <col min="6" max="6" width="19.9140625" bestFit="1" customWidth="1"/>
    <col min="7" max="7" width="27.1640625" bestFit="1" customWidth="1"/>
  </cols>
  <sheetData>
    <row r="1" spans="1:7" x14ac:dyDescent="0.45">
      <c r="B1" s="2" t="s">
        <v>0</v>
      </c>
      <c r="C1" s="2" t="s">
        <v>5</v>
      </c>
      <c r="D1" s="2" t="s">
        <v>3</v>
      </c>
      <c r="E1" s="2" t="s">
        <v>4</v>
      </c>
      <c r="F1" s="2" t="s">
        <v>34</v>
      </c>
      <c r="G1" s="2" t="s">
        <v>35</v>
      </c>
    </row>
    <row r="2" spans="1:7" x14ac:dyDescent="0.45">
      <c r="B2">
        <v>1.7999999999999999E-2</v>
      </c>
      <c r="C2">
        <v>7.2999999999999995E-2</v>
      </c>
      <c r="D2">
        <v>2.3E-2</v>
      </c>
      <c r="E2">
        <v>4.1000000000000002E-2</v>
      </c>
      <c r="F2">
        <v>2.4E-2</v>
      </c>
      <c r="G2">
        <v>6.5000000000000002E-2</v>
      </c>
    </row>
    <row r="3" spans="1:7" x14ac:dyDescent="0.45">
      <c r="B3">
        <v>1.9E-2</v>
      </c>
      <c r="C3">
        <v>6.8000000000000005E-2</v>
      </c>
      <c r="D3">
        <v>2.3E-2</v>
      </c>
      <c r="E3">
        <v>0.04</v>
      </c>
      <c r="F3">
        <v>2.4E-2</v>
      </c>
      <c r="G3">
        <v>6.6000000000000003E-2</v>
      </c>
    </row>
    <row r="4" spans="1:7" x14ac:dyDescent="0.45">
      <c r="B4">
        <v>1.7000000000000001E-2</v>
      </c>
      <c r="C4">
        <v>7.6999999999999999E-2</v>
      </c>
      <c r="D4">
        <v>2.3E-2</v>
      </c>
      <c r="E4">
        <v>0.04</v>
      </c>
      <c r="F4">
        <v>2.3E-2</v>
      </c>
      <c r="G4">
        <v>6.5000000000000002E-2</v>
      </c>
    </row>
    <row r="5" spans="1:7" x14ac:dyDescent="0.45">
      <c r="B5">
        <v>1.4E-2</v>
      </c>
      <c r="C5">
        <v>7.3999999999999996E-2</v>
      </c>
      <c r="D5">
        <v>2.4E-2</v>
      </c>
      <c r="E5">
        <v>4.2000000000000003E-2</v>
      </c>
      <c r="F5">
        <v>2.4E-2</v>
      </c>
      <c r="G5">
        <v>6.6000000000000003E-2</v>
      </c>
    </row>
    <row r="6" spans="1:7" x14ac:dyDescent="0.45">
      <c r="B6">
        <v>1.4999999999999999E-2</v>
      </c>
      <c r="C6">
        <v>7.1999999999999995E-2</v>
      </c>
      <c r="D6">
        <v>0.02</v>
      </c>
      <c r="E6">
        <v>4.2000000000000003E-2</v>
      </c>
      <c r="F6">
        <v>2.3E-2</v>
      </c>
      <c r="G6">
        <v>6.5000000000000002E-2</v>
      </c>
    </row>
    <row r="7" spans="1:7" x14ac:dyDescent="0.45">
      <c r="A7" s="2" t="s">
        <v>1</v>
      </c>
      <c r="B7">
        <v>1.7000000000000001E-2</v>
      </c>
      <c r="C7">
        <v>7.2999999999999995E-2</v>
      </c>
      <c r="D7">
        <v>2.3E-2</v>
      </c>
      <c r="E7">
        <v>4.1000000000000002E-2</v>
      </c>
      <c r="F7">
        <v>2.3699999999999999E-2</v>
      </c>
      <c r="G7">
        <v>6.5299999999999997E-2</v>
      </c>
    </row>
    <row r="8" spans="1:7" x14ac:dyDescent="0.45">
      <c r="A8" s="2" t="s">
        <v>2</v>
      </c>
      <c r="C8">
        <f>0.073-0.017</f>
        <v>5.5999999999999994E-2</v>
      </c>
      <c r="E8">
        <f>0.041-0.023</f>
        <v>1.8000000000000002E-2</v>
      </c>
      <c r="G8">
        <f>0.0653-0.0237</f>
        <v>4.1599999999999998E-2</v>
      </c>
    </row>
    <row r="12" spans="1:7" x14ac:dyDescent="0.45">
      <c r="A12" s="2" t="s">
        <v>49</v>
      </c>
      <c r="C12">
        <v>7.2999999999999995E-2</v>
      </c>
      <c r="E12">
        <v>4.1000000000000002E-2</v>
      </c>
      <c r="G12">
        <v>6.5299999999999997E-2</v>
      </c>
    </row>
    <row r="13" spans="1:7" x14ac:dyDescent="0.45">
      <c r="A13" s="2" t="s">
        <v>48</v>
      </c>
      <c r="C13" t="str">
        <f>C12&amp;"±"&amp;C12*0.1</f>
        <v>0.073±0.0073</v>
      </c>
      <c r="E13" t="str">
        <f>E12&amp;"±"&amp;E12*0.1</f>
        <v>0.041±0.0041</v>
      </c>
      <c r="G13" t="str">
        <f>G12&amp;"±"&amp;G12*0.1</f>
        <v>0.0653±0.00653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5868A-08C6-4885-8D12-09172909640D}">
  <dimension ref="A1:N32"/>
  <sheetViews>
    <sheetView tabSelected="1" zoomScale="81" workbookViewId="0">
      <selection activeCell="M15" sqref="M15"/>
    </sheetView>
  </sheetViews>
  <sheetFormatPr defaultRowHeight="17" x14ac:dyDescent="0.45"/>
  <cols>
    <col min="2" max="3" width="13.08203125" bestFit="1" customWidth="1"/>
    <col min="4" max="4" width="12.9140625" customWidth="1"/>
    <col min="5" max="5" width="12.9140625" bestFit="1" customWidth="1"/>
    <col min="8" max="8" width="13.08203125" bestFit="1" customWidth="1"/>
    <col min="9" max="9" width="17.58203125" bestFit="1" customWidth="1"/>
    <col min="10" max="11" width="12.9140625" bestFit="1" customWidth="1"/>
  </cols>
  <sheetData>
    <row r="1" spans="1:11" x14ac:dyDescent="0.45">
      <c r="A1" s="2" t="s">
        <v>15</v>
      </c>
      <c r="B1" s="2" t="s">
        <v>22</v>
      </c>
      <c r="C1" s="2" t="s">
        <v>21</v>
      </c>
      <c r="D1" s="2" t="s">
        <v>20</v>
      </c>
      <c r="G1" s="2" t="s">
        <v>16</v>
      </c>
      <c r="H1" s="2" t="s">
        <v>19</v>
      </c>
      <c r="I1" s="2" t="s">
        <v>18</v>
      </c>
    </row>
    <row r="2" spans="1:11" x14ac:dyDescent="0.45">
      <c r="B2">
        <v>19.3</v>
      </c>
      <c r="C2">
        <v>16.899999999999999</v>
      </c>
      <c r="D2">
        <v>2.35</v>
      </c>
      <c r="H2">
        <v>14</v>
      </c>
      <c r="I2">
        <v>2.3E-3</v>
      </c>
    </row>
    <row r="3" spans="1:11" x14ac:dyDescent="0.45">
      <c r="B3">
        <v>19.350000000000001</v>
      </c>
      <c r="C3">
        <v>16.850000000000001</v>
      </c>
      <c r="D3">
        <v>2.35</v>
      </c>
      <c r="H3">
        <v>14</v>
      </c>
      <c r="I3">
        <v>2.5999999999999999E-2</v>
      </c>
    </row>
    <row r="4" spans="1:11" x14ac:dyDescent="0.45">
      <c r="B4">
        <v>19.399999999999999</v>
      </c>
      <c r="C4">
        <v>16.8</v>
      </c>
      <c r="D4">
        <v>2.35</v>
      </c>
      <c r="H4">
        <v>13.95</v>
      </c>
      <c r="I4">
        <v>2.5000000000000001E-2</v>
      </c>
    </row>
    <row r="5" spans="1:11" x14ac:dyDescent="0.45">
      <c r="B5">
        <v>19.3</v>
      </c>
      <c r="C5">
        <v>16.75</v>
      </c>
      <c r="D5">
        <v>2.35</v>
      </c>
      <c r="H5">
        <v>14.05</v>
      </c>
      <c r="I5">
        <v>2.7E-2</v>
      </c>
    </row>
    <row r="6" spans="1:11" x14ac:dyDescent="0.45">
      <c r="B6">
        <v>19.3</v>
      </c>
      <c r="C6">
        <v>16.8</v>
      </c>
      <c r="D6">
        <v>2.4</v>
      </c>
      <c r="H6">
        <v>14.05</v>
      </c>
      <c r="I6">
        <v>2.5999999999999999E-2</v>
      </c>
    </row>
    <row r="7" spans="1:11" x14ac:dyDescent="0.45">
      <c r="A7" s="2" t="s">
        <v>46</v>
      </c>
      <c r="B7">
        <f>MEDIAN(B2:B6)</f>
        <v>19.3</v>
      </c>
      <c r="C7">
        <f t="shared" ref="C7:D7" si="0">MEDIAN(C2:C6)</f>
        <v>16.8</v>
      </c>
      <c r="D7">
        <f t="shared" si="0"/>
        <v>2.35</v>
      </c>
      <c r="G7" s="2" t="s">
        <v>46</v>
      </c>
      <c r="H7">
        <f>MEDIAN(H2:H6)</f>
        <v>14</v>
      </c>
      <c r="I7">
        <f>MEDIAN(I2:I6)</f>
        <v>2.5999999999999999E-2</v>
      </c>
    </row>
    <row r="8" spans="1:11" x14ac:dyDescent="0.45">
      <c r="A8" s="2" t="s">
        <v>1</v>
      </c>
      <c r="B8">
        <f>AVERAGE(B2:B6)</f>
        <v>19.330000000000002</v>
      </c>
      <c r="C8">
        <f t="shared" ref="C8:D8" si="1">AVERAGE(C2:C6)</f>
        <v>16.82</v>
      </c>
      <c r="D8">
        <f t="shared" si="1"/>
        <v>2.3600000000000003</v>
      </c>
      <c r="G8" s="2" t="s">
        <v>1</v>
      </c>
      <c r="H8">
        <f>AVERAGE(H2:H6)</f>
        <v>14.01</v>
      </c>
      <c r="I8">
        <f>AVERAGE(I2:I6)</f>
        <v>2.1259999999999998E-2</v>
      </c>
    </row>
    <row r="9" spans="1:11" x14ac:dyDescent="0.45">
      <c r="A9" s="2" t="s">
        <v>47</v>
      </c>
      <c r="B9">
        <f>TEXT(_xlfn.STDEV.S(B2:B6),"0.0000")*1</f>
        <v>4.4699999999999997E-2</v>
      </c>
      <c r="C9">
        <f t="shared" ref="C9:D9" si="2">TEXT(_xlfn.STDEV.S(C2:C6),"0.0000")*1</f>
        <v>5.7000000000000002E-2</v>
      </c>
      <c r="D9">
        <f t="shared" si="2"/>
        <v>2.24E-2</v>
      </c>
      <c r="G9" s="2" t="s">
        <v>47</v>
      </c>
      <c r="H9">
        <f>TEXT(_xlfn.STDEV.S(H2:H6),"0.0000")*1</f>
        <v>4.1799999999999997E-2</v>
      </c>
      <c r="I9">
        <f>TEXT(_xlfn.STDEV.S(I2:I6),"0.0000")*1</f>
        <v>1.06E-2</v>
      </c>
    </row>
    <row r="10" spans="1:11" x14ac:dyDescent="0.45">
      <c r="A10" s="2" t="s">
        <v>48</v>
      </c>
      <c r="B10" t="str">
        <f>B8&amp;"±"&amp;TEXT(B9,"0.0000")</f>
        <v>19.33±0.0447</v>
      </c>
      <c r="C10" t="str">
        <f t="shared" ref="C10:D10" si="3">C8&amp;"±"&amp;TEXT(C9,"0.0000")</f>
        <v>16.82±0.0570</v>
      </c>
      <c r="D10" t="str">
        <f t="shared" si="3"/>
        <v>2.36±0.0224</v>
      </c>
      <c r="G10" s="2" t="s">
        <v>48</v>
      </c>
      <c r="H10" t="str">
        <f>H8&amp;"±"&amp;TEXT(H9,"0.0000")</f>
        <v>14.01±0.0418</v>
      </c>
      <c r="I10" t="str">
        <f>I8&amp;"±"&amp;I8*0.1</f>
        <v>0.02126±0.002126</v>
      </c>
    </row>
    <row r="12" spans="1:11" x14ac:dyDescent="0.45">
      <c r="A12" s="2" t="s">
        <v>23</v>
      </c>
      <c r="B12" s="2" t="s">
        <v>17</v>
      </c>
      <c r="D12" s="2" t="s">
        <v>28</v>
      </c>
      <c r="E12" s="2" t="s">
        <v>17</v>
      </c>
      <c r="G12" s="2" t="s">
        <v>24</v>
      </c>
      <c r="H12" s="2" t="s">
        <v>12</v>
      </c>
      <c r="I12" s="2" t="s">
        <v>13</v>
      </c>
      <c r="J12" s="2" t="s">
        <v>25</v>
      </c>
      <c r="K12" s="2" t="s">
        <v>14</v>
      </c>
    </row>
    <row r="13" spans="1:11" x14ac:dyDescent="0.45">
      <c r="B13">
        <v>15.95</v>
      </c>
      <c r="E13">
        <v>14</v>
      </c>
      <c r="H13">
        <v>18.45</v>
      </c>
      <c r="I13">
        <v>17.350000000000001</v>
      </c>
      <c r="J13">
        <v>2</v>
      </c>
      <c r="K13">
        <v>2.4</v>
      </c>
    </row>
    <row r="14" spans="1:11" x14ac:dyDescent="0.45">
      <c r="B14">
        <v>16.05</v>
      </c>
      <c r="E14">
        <v>14</v>
      </c>
      <c r="H14">
        <v>18.45</v>
      </c>
      <c r="I14">
        <v>17.3</v>
      </c>
      <c r="J14">
        <v>2</v>
      </c>
      <c r="K14">
        <v>2.35</v>
      </c>
    </row>
    <row r="15" spans="1:11" x14ac:dyDescent="0.45">
      <c r="B15">
        <v>16</v>
      </c>
      <c r="E15">
        <v>14.05</v>
      </c>
      <c r="H15">
        <v>18.45</v>
      </c>
      <c r="I15">
        <v>17.3</v>
      </c>
      <c r="J15">
        <v>2.0499999999999998</v>
      </c>
      <c r="K15">
        <v>2.35</v>
      </c>
    </row>
    <row r="16" spans="1:11" x14ac:dyDescent="0.45">
      <c r="B16">
        <v>16</v>
      </c>
      <c r="E16">
        <v>14</v>
      </c>
      <c r="H16">
        <v>18.45</v>
      </c>
      <c r="I16">
        <v>17.3</v>
      </c>
      <c r="J16">
        <v>2.15</v>
      </c>
      <c r="K16">
        <v>2.4</v>
      </c>
    </row>
    <row r="17" spans="1:14" x14ac:dyDescent="0.45">
      <c r="B17">
        <v>15.95</v>
      </c>
      <c r="E17">
        <v>13.95</v>
      </c>
      <c r="H17">
        <v>18.45</v>
      </c>
      <c r="I17">
        <v>17.2</v>
      </c>
      <c r="J17">
        <v>2</v>
      </c>
      <c r="K17">
        <v>2.4</v>
      </c>
    </row>
    <row r="18" spans="1:14" x14ac:dyDescent="0.45">
      <c r="A18" s="2" t="s">
        <v>46</v>
      </c>
      <c r="B18">
        <f>MEDIAN(B13:B17)</f>
        <v>16</v>
      </c>
      <c r="D18" s="2" t="s">
        <v>46</v>
      </c>
      <c r="E18">
        <f>MEDIAN(E13:E17)</f>
        <v>14</v>
      </c>
      <c r="G18" s="2" t="s">
        <v>46</v>
      </c>
      <c r="H18">
        <f>MEDIAN(H13:H17)</f>
        <v>18.45</v>
      </c>
      <c r="I18">
        <f t="shared" ref="I18:K18" si="4">MEDIAN(I13:I17)</f>
        <v>17.3</v>
      </c>
      <c r="J18">
        <f t="shared" si="4"/>
        <v>2</v>
      </c>
      <c r="K18">
        <f t="shared" si="4"/>
        <v>2.4</v>
      </c>
    </row>
    <row r="19" spans="1:14" x14ac:dyDescent="0.45">
      <c r="A19" s="2" t="s">
        <v>1</v>
      </c>
      <c r="B19">
        <f>AVERAGE(B13:B17)</f>
        <v>15.99</v>
      </c>
      <c r="D19" s="2" t="s">
        <v>1</v>
      </c>
      <c r="E19">
        <f>AVERAGE(E13:E17)</f>
        <v>14</v>
      </c>
      <c r="G19" s="2" t="s">
        <v>1</v>
      </c>
      <c r="H19">
        <f>AVERAGE(H13:H17)</f>
        <v>18.45</v>
      </c>
      <c r="I19">
        <f t="shared" ref="I19:K19" si="5">AVERAGE(I13:I17)</f>
        <v>17.29</v>
      </c>
      <c r="J19">
        <f t="shared" si="5"/>
        <v>2.04</v>
      </c>
      <c r="K19">
        <f t="shared" si="5"/>
        <v>2.38</v>
      </c>
    </row>
    <row r="20" spans="1:14" x14ac:dyDescent="0.45">
      <c r="A20" s="2" t="s">
        <v>47</v>
      </c>
      <c r="B20">
        <f>TEXT(_xlfn.STDEV.S(B13:B17),"0.0000")*1</f>
        <v>4.1799999999999997E-2</v>
      </c>
      <c r="D20" s="2" t="s">
        <v>47</v>
      </c>
      <c r="E20">
        <f>TEXT(_xlfn.STDEV.S(E13:E17),"0.0000")*1</f>
        <v>3.5400000000000001E-2</v>
      </c>
      <c r="G20" s="2" t="s">
        <v>47</v>
      </c>
      <c r="H20">
        <f>TEXT(_xlfn.STDEV.S(H13:H17),"0.0000")*1</f>
        <v>0</v>
      </c>
      <c r="I20">
        <f t="shared" ref="I20:K20" si="6">TEXT(_xlfn.STDEV.S(I13:I17),"0.0000")*1</f>
        <v>5.4800000000000001E-2</v>
      </c>
      <c r="J20">
        <f t="shared" si="6"/>
        <v>6.5199999999999994E-2</v>
      </c>
      <c r="K20">
        <f t="shared" si="6"/>
        <v>2.7400000000000001E-2</v>
      </c>
    </row>
    <row r="21" spans="1:14" x14ac:dyDescent="0.45">
      <c r="A21" s="2" t="s">
        <v>48</v>
      </c>
      <c r="B21" t="str">
        <f>B19&amp;"±"&amp;TEXT(B20,"0.0000")</f>
        <v>15.99±0.0418</v>
      </c>
      <c r="D21" s="2" t="s">
        <v>48</v>
      </c>
      <c r="E21" t="str">
        <f>E19&amp;"±"&amp;TEXT(E20,"0.0000")</f>
        <v>14±0.0354</v>
      </c>
      <c r="G21" s="2" t="s">
        <v>48</v>
      </c>
      <c r="H21" t="str">
        <f>H19&amp;"±"&amp;TEXT(H20,"0.0000")</f>
        <v>18.45±0.0000</v>
      </c>
      <c r="I21" t="str">
        <f t="shared" ref="I21:K21" si="7">I19&amp;"±"&amp;TEXT(I20,"0.0000")</f>
        <v>17.29±0.0548</v>
      </c>
      <c r="J21" t="str">
        <f t="shared" si="7"/>
        <v>2.04±0.0652</v>
      </c>
      <c r="K21" t="str">
        <f t="shared" si="7"/>
        <v>2.38±0.0274</v>
      </c>
    </row>
    <row r="23" spans="1:14" x14ac:dyDescent="0.45">
      <c r="A23" s="2" t="s">
        <v>26</v>
      </c>
      <c r="B23" s="2" t="s">
        <v>12</v>
      </c>
      <c r="C23" s="2" t="s">
        <v>13</v>
      </c>
      <c r="D23" s="2" t="s">
        <v>25</v>
      </c>
      <c r="E23" s="2" t="s">
        <v>14</v>
      </c>
      <c r="G23" s="2" t="s">
        <v>27</v>
      </c>
      <c r="H23" s="2" t="s">
        <v>12</v>
      </c>
      <c r="I23" s="2" t="s">
        <v>13</v>
      </c>
      <c r="J23" s="2" t="s">
        <v>52</v>
      </c>
      <c r="L23" s="2" t="s">
        <v>29</v>
      </c>
      <c r="M23" s="2" t="s">
        <v>17</v>
      </c>
      <c r="N23" s="2" t="s">
        <v>14</v>
      </c>
    </row>
    <row r="24" spans="1:14" x14ac:dyDescent="0.45">
      <c r="B24">
        <v>20.100000000000001</v>
      </c>
      <c r="C24">
        <v>19.55</v>
      </c>
      <c r="D24">
        <v>2.2999999999999998</v>
      </c>
      <c r="E24">
        <v>2.8</v>
      </c>
      <c r="H24">
        <v>14.5</v>
      </c>
      <c r="I24">
        <v>10.35</v>
      </c>
      <c r="J24">
        <v>0.22</v>
      </c>
      <c r="M24">
        <v>15.9</v>
      </c>
      <c r="N24">
        <v>1.05</v>
      </c>
    </row>
    <row r="25" spans="1:14" x14ac:dyDescent="0.45">
      <c r="B25">
        <v>20.100000000000001</v>
      </c>
      <c r="C25">
        <v>19.399999999999999</v>
      </c>
      <c r="D25">
        <v>2.35</v>
      </c>
      <c r="E25">
        <v>2.75</v>
      </c>
      <c r="H25">
        <v>14.5</v>
      </c>
      <c r="I25">
        <v>10.45</v>
      </c>
      <c r="J25">
        <v>0.25</v>
      </c>
      <c r="M25">
        <v>15.9</v>
      </c>
      <c r="N25">
        <v>1</v>
      </c>
    </row>
    <row r="26" spans="1:14" x14ac:dyDescent="0.45">
      <c r="B26">
        <v>20.2</v>
      </c>
      <c r="C26">
        <v>19.5</v>
      </c>
      <c r="D26">
        <v>2.4</v>
      </c>
      <c r="E26">
        <v>2.8</v>
      </c>
      <c r="H26">
        <v>14.55</v>
      </c>
      <c r="I26">
        <v>10.4</v>
      </c>
      <c r="J26">
        <v>0.22</v>
      </c>
      <c r="M26">
        <v>15.9</v>
      </c>
      <c r="N26">
        <v>1</v>
      </c>
    </row>
    <row r="27" spans="1:14" x14ac:dyDescent="0.45">
      <c r="B27">
        <v>20.25</v>
      </c>
      <c r="C27">
        <v>19.45</v>
      </c>
      <c r="D27">
        <v>2.4</v>
      </c>
      <c r="E27">
        <v>2.75</v>
      </c>
      <c r="H27">
        <v>14.5</v>
      </c>
      <c r="I27">
        <v>10.4</v>
      </c>
      <c r="J27">
        <v>0.22</v>
      </c>
      <c r="M27">
        <v>15.9</v>
      </c>
      <c r="N27">
        <v>1.05</v>
      </c>
    </row>
    <row r="28" spans="1:14" x14ac:dyDescent="0.45">
      <c r="B28">
        <v>20.100000000000001</v>
      </c>
      <c r="C28">
        <v>19.399999999999999</v>
      </c>
      <c r="D28">
        <v>2.5499999999999998</v>
      </c>
      <c r="E28">
        <v>2.8</v>
      </c>
      <c r="H28">
        <v>14.45</v>
      </c>
      <c r="I28">
        <v>10.4</v>
      </c>
      <c r="J28">
        <v>0.22</v>
      </c>
      <c r="M28">
        <v>15.9</v>
      </c>
      <c r="N28">
        <v>1</v>
      </c>
    </row>
    <row r="29" spans="1:14" x14ac:dyDescent="0.45">
      <c r="A29" s="2" t="s">
        <v>46</v>
      </c>
      <c r="B29">
        <f>MEDIAN(B24:B28)</f>
        <v>20.100000000000001</v>
      </c>
      <c r="C29">
        <f t="shared" ref="C29:E29" si="8">MEDIAN(C24:C28)</f>
        <v>19.45</v>
      </c>
      <c r="D29">
        <f t="shared" si="8"/>
        <v>2.4</v>
      </c>
      <c r="E29">
        <f t="shared" si="8"/>
        <v>2.8</v>
      </c>
      <c r="G29" s="2" t="s">
        <v>46</v>
      </c>
      <c r="H29">
        <f>MEDIAN(H24:H28)</f>
        <v>14.5</v>
      </c>
      <c r="I29">
        <f>MEDIAN(I24:I28)</f>
        <v>10.4</v>
      </c>
      <c r="J29">
        <f>MEDIAN(J24:J28)</f>
        <v>0.22</v>
      </c>
      <c r="L29" s="2" t="s">
        <v>46</v>
      </c>
      <c r="M29">
        <f>MEDIAN(M24:M28)</f>
        <v>15.9</v>
      </c>
      <c r="N29">
        <f>MEDIAN(N24:N28)</f>
        <v>1</v>
      </c>
    </row>
    <row r="30" spans="1:14" x14ac:dyDescent="0.45">
      <c r="A30" s="2" t="s">
        <v>1</v>
      </c>
      <c r="B30">
        <f>AVERAGE(B24:B28)</f>
        <v>20.149999999999999</v>
      </c>
      <c r="C30">
        <f t="shared" ref="C30:E30" si="9">AVERAGE(C24:C28)</f>
        <v>19.46</v>
      </c>
      <c r="D30">
        <f t="shared" si="9"/>
        <v>2.4</v>
      </c>
      <c r="E30">
        <f t="shared" si="9"/>
        <v>2.78</v>
      </c>
      <c r="G30" s="2" t="s">
        <v>1</v>
      </c>
      <c r="H30">
        <f>AVERAGE(H24:H28)</f>
        <v>14.5</v>
      </c>
      <c r="I30">
        <f>AVERAGE(I24:I28)</f>
        <v>10.399999999999999</v>
      </c>
      <c r="J30">
        <f>AVERAGE(J24:J28)</f>
        <v>0.22599999999999998</v>
      </c>
      <c r="L30" s="2" t="s">
        <v>1</v>
      </c>
      <c r="M30">
        <f>AVERAGE(M24:M28)</f>
        <v>15.9</v>
      </c>
      <c r="N30">
        <f>AVERAGE(N24:N28)</f>
        <v>1.02</v>
      </c>
    </row>
    <row r="31" spans="1:14" x14ac:dyDescent="0.45">
      <c r="A31" s="2" t="s">
        <v>47</v>
      </c>
      <c r="B31">
        <f>TEXT(_xlfn.STDEV.S(B24:B28),"0.0000")*1</f>
        <v>7.0699999999999999E-2</v>
      </c>
      <c r="C31">
        <f t="shared" ref="C31:E31" si="10">TEXT(_xlfn.STDEV.S(C24:C28),"0.0000")*1</f>
        <v>6.5199999999999994E-2</v>
      </c>
      <c r="D31">
        <f t="shared" si="10"/>
        <v>9.35E-2</v>
      </c>
      <c r="E31">
        <f t="shared" si="10"/>
        <v>2.7400000000000001E-2</v>
      </c>
      <c r="G31" s="2" t="s">
        <v>47</v>
      </c>
      <c r="H31">
        <f>TEXT(_xlfn.STDEV.S(H24:H28),"0.0000")*1</f>
        <v>3.5400000000000001E-2</v>
      </c>
      <c r="I31">
        <f>TEXT(_xlfn.STDEV.S(I24:I28),"0.0000")*1</f>
        <v>3.5400000000000001E-2</v>
      </c>
      <c r="J31">
        <f>TEXT(_xlfn.STDEV.S(J24:J28),"0.0000")*1</f>
        <v>1.34E-2</v>
      </c>
      <c r="L31" s="2" t="s">
        <v>47</v>
      </c>
      <c r="M31">
        <f>TEXT(_xlfn.STDEV.S(M24:M28),"0.0000")*1</f>
        <v>0</v>
      </c>
      <c r="N31">
        <f>TEXT(_xlfn.STDEV.S(N24:N28),"0.0000")*1</f>
        <v>2.7400000000000001E-2</v>
      </c>
    </row>
    <row r="32" spans="1:14" x14ac:dyDescent="0.45">
      <c r="A32" s="2" t="s">
        <v>48</v>
      </c>
      <c r="B32" t="str">
        <f>B30&amp;"±"&amp;B31</f>
        <v>20.15±0.0707</v>
      </c>
      <c r="C32" t="str">
        <f t="shared" ref="C32:E32" si="11">C30&amp;"±"&amp;C31</f>
        <v>19.46±0.0652</v>
      </c>
      <c r="D32" t="str">
        <f t="shared" si="11"/>
        <v>2.4±0.0935</v>
      </c>
      <c r="E32" t="str">
        <f t="shared" si="11"/>
        <v>2.78±0.0274</v>
      </c>
      <c r="G32" s="2" t="s">
        <v>48</v>
      </c>
      <c r="H32" t="str">
        <f>H30&amp;"±"&amp;H31</f>
        <v>14.5±0.0354</v>
      </c>
      <c r="I32" t="str">
        <f>I30&amp;"±"&amp;I31</f>
        <v>10.4±0.0354</v>
      </c>
      <c r="J32" t="str">
        <f>0.226&amp;"±"&amp;0.0134</f>
        <v>0.226±0.0134</v>
      </c>
      <c r="L32" s="2" t="s">
        <v>48</v>
      </c>
      <c r="M32" t="str">
        <f>M30&amp;"±"&amp;M31</f>
        <v>15.9±0</v>
      </c>
      <c r="N32" t="str">
        <f>N30&amp;"±"&amp;N31</f>
        <v>1.02±0.0274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284C8-C88E-4250-87D2-0D2C14E4F633}">
  <dimension ref="A1:O6"/>
  <sheetViews>
    <sheetView workbookViewId="0">
      <selection activeCell="H13" sqref="H13"/>
    </sheetView>
  </sheetViews>
  <sheetFormatPr defaultRowHeight="17" x14ac:dyDescent="0.45"/>
  <cols>
    <col min="2" max="2" width="9.83203125" bestFit="1" customWidth="1"/>
    <col min="3" max="3" width="9.1640625" bestFit="1" customWidth="1"/>
    <col min="5" max="6" width="9.6640625" bestFit="1" customWidth="1"/>
    <col min="10" max="10" width="9.83203125" bestFit="1" customWidth="1"/>
    <col min="11" max="11" width="22.75" bestFit="1" customWidth="1"/>
    <col min="14" max="14" width="9.83203125" bestFit="1" customWidth="1"/>
    <col min="15" max="15" width="22.75" bestFit="1" customWidth="1"/>
  </cols>
  <sheetData>
    <row r="1" spans="1:15" x14ac:dyDescent="0.45">
      <c r="A1" s="3">
        <v>0.8</v>
      </c>
      <c r="B1" s="2" t="s">
        <v>30</v>
      </c>
      <c r="C1" s="2" t="s">
        <v>31</v>
      </c>
      <c r="E1" s="2" t="s">
        <v>32</v>
      </c>
      <c r="F1" s="2" t="s">
        <v>33</v>
      </c>
      <c r="I1" s="2" t="s">
        <v>40</v>
      </c>
      <c r="J1" s="2" t="s">
        <v>38</v>
      </c>
      <c r="K1" s="2" t="s">
        <v>39</v>
      </c>
      <c r="M1" s="2" t="s">
        <v>41</v>
      </c>
      <c r="N1" s="2" t="s">
        <v>38</v>
      </c>
      <c r="O1" s="2" t="s">
        <v>39</v>
      </c>
    </row>
    <row r="2" spans="1:15" x14ac:dyDescent="0.45">
      <c r="A2" t="s">
        <v>7</v>
      </c>
      <c r="B2">
        <f>0.003608</f>
        <v>3.6080000000000001E-3</v>
      </c>
      <c r="C2">
        <v>9.8239999999999994E-3</v>
      </c>
      <c r="E2">
        <v>8.08</v>
      </c>
      <c r="F2">
        <v>9.5039999999999996</v>
      </c>
      <c r="I2" t="s">
        <v>7</v>
      </c>
      <c r="J2">
        <f>145*VLOOKUP($A2,$A$2:$B$6,2)</f>
        <v>0.52316000000000007</v>
      </c>
      <c r="K2">
        <f>$J2*0.2</f>
        <v>0.10463200000000002</v>
      </c>
      <c r="M2" t="s">
        <v>7</v>
      </c>
      <c r="N2">
        <f>145*VLOOKUP($M2,$A$2:$E$6,5)*10^-3</f>
        <v>1.1716</v>
      </c>
      <c r="O2">
        <f>$N2*0.2</f>
        <v>0.23432</v>
      </c>
    </row>
    <row r="3" spans="1:15" x14ac:dyDescent="0.45">
      <c r="A3" t="s">
        <v>8</v>
      </c>
      <c r="B3">
        <v>4.2079999999999999E-3</v>
      </c>
      <c r="C3">
        <v>9.2399999999999999E-3</v>
      </c>
      <c r="E3">
        <v>8.0719999999999992</v>
      </c>
      <c r="F3">
        <v>9.5519999999999996</v>
      </c>
      <c r="I3" t="s">
        <v>8</v>
      </c>
      <c r="J3">
        <f t="shared" ref="J3:J6" si="0">145*VLOOKUP($A3,$A$2:$B$6,2)</f>
        <v>0.61016000000000004</v>
      </c>
      <c r="K3">
        <f t="shared" ref="K3:K6" si="1">$J3*0.2</f>
        <v>0.12203200000000002</v>
      </c>
      <c r="M3" t="s">
        <v>8</v>
      </c>
      <c r="N3">
        <f t="shared" ref="N3:N6" si="2">145*VLOOKUP($M3,$A$2:$E$6,5)*10^-3</f>
        <v>1.1704399999999999</v>
      </c>
      <c r="O3">
        <f t="shared" ref="O3:O6" si="3">$N3*0.2</f>
        <v>0.23408799999999999</v>
      </c>
    </row>
    <row r="4" spans="1:15" x14ac:dyDescent="0.45">
      <c r="A4" t="s">
        <v>9</v>
      </c>
      <c r="B4">
        <v>4.3839999999999999E-3</v>
      </c>
      <c r="C4">
        <v>1.0864E-2</v>
      </c>
      <c r="E4">
        <v>8.1359999999999992</v>
      </c>
      <c r="F4">
        <v>9.16</v>
      </c>
      <c r="I4" t="s">
        <v>9</v>
      </c>
      <c r="J4">
        <f t="shared" si="0"/>
        <v>0.63568000000000002</v>
      </c>
      <c r="K4">
        <f t="shared" si="1"/>
        <v>0.127136</v>
      </c>
      <c r="M4" t="s">
        <v>9</v>
      </c>
      <c r="N4">
        <f t="shared" si="2"/>
        <v>1.1797199999999999</v>
      </c>
      <c r="O4">
        <f t="shared" si="3"/>
        <v>0.23594399999999999</v>
      </c>
    </row>
    <row r="5" spans="1:15" x14ac:dyDescent="0.45">
      <c r="A5" t="s">
        <v>10</v>
      </c>
      <c r="B5">
        <v>3.3600000000000001E-3</v>
      </c>
      <c r="C5">
        <v>8.0960000000000008E-3</v>
      </c>
      <c r="E5">
        <v>8.4</v>
      </c>
      <c r="F5">
        <v>8.36</v>
      </c>
      <c r="I5" t="s">
        <v>10</v>
      </c>
      <c r="J5">
        <f t="shared" si="0"/>
        <v>0.48720000000000002</v>
      </c>
      <c r="K5">
        <f t="shared" si="1"/>
        <v>9.7440000000000013E-2</v>
      </c>
      <c r="M5" t="s">
        <v>10</v>
      </c>
      <c r="N5">
        <f t="shared" si="2"/>
        <v>1.218</v>
      </c>
      <c r="O5">
        <f t="shared" si="3"/>
        <v>0.24360000000000001</v>
      </c>
    </row>
    <row r="6" spans="1:15" x14ac:dyDescent="0.45">
      <c r="A6" t="s">
        <v>11</v>
      </c>
      <c r="B6">
        <v>3.568E-3</v>
      </c>
      <c r="C6">
        <v>8.9599999999999992E-3</v>
      </c>
      <c r="E6">
        <v>8.5280000000000005</v>
      </c>
      <c r="F6">
        <v>9.3520000000000003</v>
      </c>
      <c r="I6" t="s">
        <v>11</v>
      </c>
      <c r="J6">
        <f t="shared" si="0"/>
        <v>0.51736000000000004</v>
      </c>
      <c r="K6">
        <f t="shared" si="1"/>
        <v>0.10347200000000001</v>
      </c>
      <c r="M6" t="s">
        <v>11</v>
      </c>
      <c r="N6">
        <f t="shared" si="2"/>
        <v>1.2365600000000001</v>
      </c>
      <c r="O6">
        <f t="shared" si="3"/>
        <v>0.24731200000000003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9A44-54AE-493A-BEEA-87EAB7A0862E}">
  <dimension ref="A1:J6"/>
  <sheetViews>
    <sheetView workbookViewId="0">
      <selection activeCell="J19" sqref="J19"/>
    </sheetView>
  </sheetViews>
  <sheetFormatPr defaultRowHeight="17" x14ac:dyDescent="0.45"/>
  <cols>
    <col min="10" max="10" width="27.9140625" bestFit="1" customWidth="1"/>
  </cols>
  <sheetData>
    <row r="1" spans="1:10" x14ac:dyDescent="0.45">
      <c r="B1" t="s">
        <v>37</v>
      </c>
      <c r="C1" t="s">
        <v>42</v>
      </c>
      <c r="E1" t="s">
        <v>43</v>
      </c>
      <c r="F1" t="s">
        <v>44</v>
      </c>
      <c r="G1" t="s">
        <v>45</v>
      </c>
      <c r="J1" t="s">
        <v>50</v>
      </c>
    </row>
    <row r="2" spans="1:10" x14ac:dyDescent="0.45">
      <c r="A2" t="s">
        <v>7</v>
      </c>
      <c r="B2">
        <v>0.52315999999999996</v>
      </c>
      <c r="C2">
        <f>$B2*0.2</f>
        <v>0.104632</v>
      </c>
      <c r="E2">
        <v>50</v>
      </c>
      <c r="F2">
        <f>2.8+((4.2-2.8)/100)*(50)</f>
        <v>3.5</v>
      </c>
      <c r="G2">
        <v>2.5</v>
      </c>
      <c r="J2" s="1" t="s">
        <v>51</v>
      </c>
    </row>
    <row r="3" spans="1:10" x14ac:dyDescent="0.45">
      <c r="A3" t="s">
        <v>8</v>
      </c>
      <c r="B3">
        <v>0.61016000000000004</v>
      </c>
      <c r="C3">
        <f t="shared" ref="C3:C6" si="0">$B3*0.2</f>
        <v>0.12203200000000002</v>
      </c>
      <c r="E3">
        <v>50</v>
      </c>
      <c r="F3">
        <f t="shared" ref="F3:F4" si="1">2.8+((4.2-2.8)/100)*(50)</f>
        <v>3.5</v>
      </c>
      <c r="G3">
        <v>2.5</v>
      </c>
    </row>
    <row r="4" spans="1:10" x14ac:dyDescent="0.45">
      <c r="A4" t="s">
        <v>9</v>
      </c>
      <c r="B4">
        <v>0.63568000000000002</v>
      </c>
      <c r="C4">
        <f t="shared" si="0"/>
        <v>0.127136</v>
      </c>
      <c r="E4">
        <v>50</v>
      </c>
      <c r="F4">
        <f t="shared" si="1"/>
        <v>3.5</v>
      </c>
      <c r="G4">
        <v>2.5</v>
      </c>
    </row>
    <row r="5" spans="1:10" x14ac:dyDescent="0.45">
      <c r="A5" t="s">
        <v>10</v>
      </c>
      <c r="B5">
        <v>0.48720000000000002</v>
      </c>
      <c r="C5">
        <f t="shared" si="0"/>
        <v>9.7440000000000013E-2</v>
      </c>
      <c r="E5">
        <v>40</v>
      </c>
      <c r="F5">
        <f>2.8+((4.2-2.8)/100)*(40)</f>
        <v>3.36</v>
      </c>
      <c r="G5">
        <v>3</v>
      </c>
    </row>
    <row r="6" spans="1:10" x14ac:dyDescent="0.45">
      <c r="A6" t="s">
        <v>11</v>
      </c>
      <c r="B6">
        <v>0.51736000000000004</v>
      </c>
      <c r="C6">
        <f t="shared" si="0"/>
        <v>0.10347200000000001</v>
      </c>
      <c r="E6">
        <v>40</v>
      </c>
      <c r="F6">
        <f>2.8+((4.2-2.8)/100)*(40)</f>
        <v>3.36</v>
      </c>
      <c r="G6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압연전</vt:lpstr>
      <vt:lpstr>압연후</vt:lpstr>
      <vt:lpstr>부품측정후</vt:lpstr>
      <vt:lpstr>질량 및 용량, 전류</vt:lpstr>
      <vt:lpstr>사이클러 조건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임창준</dc:creator>
  <cp:lastModifiedBy>임창준</cp:lastModifiedBy>
  <dcterms:created xsi:type="dcterms:W3CDTF">2026-06-02T14:29:22Z</dcterms:created>
  <dcterms:modified xsi:type="dcterms:W3CDTF">2026-06-23T11:52:53Z</dcterms:modified>
</cp:coreProperties>
</file>